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al/Downloads/"/>
    </mc:Choice>
  </mc:AlternateContent>
  <xr:revisionPtr revIDLastSave="0" documentId="13_ncr:1_{65761D69-467F-9543-BBBA-3A9F2EFF3468}" xr6:coauthVersionLast="47" xr6:coauthVersionMax="47" xr10:uidLastSave="{00000000-0000-0000-0000-000000000000}"/>
  <bookViews>
    <workbookView xWindow="0" yWindow="660" windowWidth="14920" windowHeight="17920" firstSheet="2" activeTab="7" xr2:uid="{FC0703C2-C9F5-2F4D-B353-682F23664617}"/>
  </bookViews>
  <sheets>
    <sheet name="COVER" sheetId="1" r:id="rId1"/>
    <sheet name="SUMMARY" sheetId="2" r:id="rId2"/>
    <sheet name="IS" sheetId="3" r:id="rId3"/>
    <sheet name="BS" sheetId="4" r:id="rId4"/>
    <sheet name="CFS" sheetId="5" r:id="rId5"/>
    <sheet name="SCHEDULES" sheetId="6" r:id="rId6"/>
    <sheet name="DRIVERS" sheetId="7" r:id="rId7"/>
    <sheet name="DCF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6" i="9" l="1"/>
  <c r="E26" i="9"/>
  <c r="F26" i="9"/>
  <c r="G26" i="9"/>
  <c r="C26" i="9"/>
  <c r="B34" i="9"/>
  <c r="B33" i="9"/>
  <c r="B8" i="9"/>
  <c r="B12" i="9"/>
  <c r="K12" i="7"/>
  <c r="J12" i="7"/>
  <c r="I12" i="7"/>
  <c r="H12" i="7"/>
  <c r="G12" i="7"/>
  <c r="B11" i="9"/>
  <c r="B10" i="9"/>
  <c r="B19" i="9"/>
  <c r="B18" i="9"/>
  <c r="B17" i="9"/>
  <c r="B16" i="9"/>
  <c r="B9" i="9"/>
  <c r="B7" i="9"/>
  <c r="B6" i="9"/>
  <c r="C13" i="7"/>
  <c r="D13" i="7"/>
  <c r="E13" i="7"/>
  <c r="F13" i="7"/>
  <c r="B13" i="7"/>
  <c r="C12" i="7"/>
  <c r="D12" i="7"/>
  <c r="E12" i="7"/>
  <c r="F12" i="7"/>
  <c r="B12" i="7"/>
  <c r="H17" i="3"/>
  <c r="I17" i="3"/>
  <c r="J17" i="3"/>
  <c r="K17" i="3"/>
  <c r="H18" i="3"/>
  <c r="I18" i="3"/>
  <c r="J18" i="3"/>
  <c r="K18" i="3"/>
  <c r="H19" i="3"/>
  <c r="I19" i="3"/>
  <c r="J19" i="3"/>
  <c r="K19" i="3"/>
  <c r="G19" i="3"/>
  <c r="G18" i="3"/>
  <c r="G17" i="3"/>
  <c r="H6" i="7"/>
  <c r="I6" i="7"/>
  <c r="J6" i="7"/>
  <c r="K6" i="7"/>
  <c r="H7" i="7"/>
  <c r="I7" i="7"/>
  <c r="J7" i="7"/>
  <c r="K7" i="7"/>
  <c r="H8" i="7"/>
  <c r="H9" i="7"/>
  <c r="I9" i="7"/>
  <c r="J9" i="7"/>
  <c r="K9" i="7"/>
  <c r="H11" i="7"/>
  <c r="I11" i="7"/>
  <c r="J11" i="7"/>
  <c r="K11" i="7"/>
  <c r="G13" i="7"/>
  <c r="G11" i="7"/>
  <c r="G9" i="7"/>
  <c r="G8" i="7"/>
  <c r="G7" i="7"/>
  <c r="G6" i="7"/>
  <c r="D6" i="7"/>
  <c r="E6" i="7"/>
  <c r="F6" i="7"/>
  <c r="C7" i="7"/>
  <c r="D7" i="7"/>
  <c r="E7" i="7"/>
  <c r="F7" i="7"/>
  <c r="C8" i="7"/>
  <c r="D8" i="7"/>
  <c r="E8" i="7"/>
  <c r="F8" i="7"/>
  <c r="C9" i="7"/>
  <c r="D9" i="7"/>
  <c r="E9" i="7"/>
  <c r="F9" i="7"/>
  <c r="C11" i="7"/>
  <c r="D11" i="7"/>
  <c r="E11" i="7"/>
  <c r="F11" i="7"/>
  <c r="C6" i="7"/>
  <c r="B11" i="7"/>
  <c r="B9" i="7"/>
  <c r="B8" i="7"/>
  <c r="B7" i="7"/>
  <c r="D16" i="5"/>
  <c r="E16" i="5"/>
  <c r="F16" i="5"/>
  <c r="C16" i="5"/>
  <c r="D8" i="5"/>
  <c r="D6" i="5"/>
  <c r="E6" i="5"/>
  <c r="F6" i="5"/>
  <c r="C6" i="5"/>
  <c r="F20" i="5"/>
  <c r="E20" i="5"/>
  <c r="D20" i="5"/>
  <c r="F15" i="5"/>
  <c r="E15" i="5"/>
  <c r="D15" i="5"/>
  <c r="F13" i="5"/>
  <c r="E13" i="5"/>
  <c r="F12" i="5"/>
  <c r="E12" i="5"/>
  <c r="D12" i="5"/>
  <c r="F9" i="5"/>
  <c r="E9" i="5"/>
  <c r="D9" i="5"/>
  <c r="F8" i="5"/>
  <c r="E8" i="5"/>
  <c r="F7" i="5"/>
  <c r="E7" i="5"/>
  <c r="D7" i="5"/>
  <c r="C20" i="5"/>
  <c r="C15" i="5"/>
  <c r="C13" i="5"/>
  <c r="C12" i="5"/>
  <c r="C10" i="5"/>
  <c r="C9" i="5"/>
  <c r="C8" i="5"/>
  <c r="C7" i="5"/>
  <c r="F22" i="4"/>
  <c r="F21" i="4"/>
  <c r="F19" i="4"/>
  <c r="F12" i="4"/>
  <c r="F13" i="4"/>
  <c r="F11" i="4"/>
  <c r="F10" i="4"/>
  <c r="F9" i="4"/>
  <c r="F8" i="4"/>
  <c r="E22" i="4"/>
  <c r="E21" i="4"/>
  <c r="E20" i="4"/>
  <c r="E19" i="4"/>
  <c r="E18" i="4"/>
  <c r="E16" i="4"/>
  <c r="E13" i="4"/>
  <c r="E12" i="4"/>
  <c r="E11" i="4"/>
  <c r="E10" i="4"/>
  <c r="E9" i="4"/>
  <c r="E8" i="4"/>
  <c r="D13" i="4"/>
  <c r="D21" i="4"/>
  <c r="D22" i="4"/>
  <c r="D19" i="4"/>
  <c r="D17" i="4"/>
  <c r="D12" i="4"/>
  <c r="D9" i="4"/>
  <c r="D8" i="4"/>
  <c r="C17" i="4"/>
  <c r="C21" i="4"/>
  <c r="C22" i="4"/>
  <c r="C19" i="4"/>
  <c r="C13" i="4"/>
  <c r="C12" i="4"/>
  <c r="C9" i="4"/>
  <c r="C8" i="4"/>
  <c r="F23" i="4"/>
  <c r="E23" i="4"/>
  <c r="D23" i="4"/>
  <c r="C23" i="4"/>
  <c r="B8" i="4"/>
  <c r="B23" i="4"/>
  <c r="B14" i="4"/>
  <c r="F14" i="4"/>
  <c r="E14" i="4"/>
  <c r="D14" i="4"/>
  <c r="C14" i="4"/>
  <c r="F13" i="3"/>
  <c r="E13" i="3"/>
  <c r="D13" i="3"/>
  <c r="B20" i="3"/>
  <c r="C20" i="3"/>
  <c r="B10" i="3"/>
  <c r="C10" i="3"/>
  <c r="C13" i="3"/>
  <c r="B13" i="3"/>
  <c r="F10" i="3"/>
  <c r="E10" i="3"/>
  <c r="D10" i="3"/>
  <c r="H13" i="7" l="1"/>
  <c r="I13" i="7" s="1"/>
  <c r="J13" i="7" s="1"/>
  <c r="K13" i="7" s="1"/>
  <c r="G6" i="3"/>
  <c r="I8" i="7"/>
  <c r="J8" i="7" s="1"/>
  <c r="K8" i="7" s="1"/>
  <c r="C17" i="5"/>
  <c r="D10" i="5"/>
  <c r="E10" i="5"/>
  <c r="F10" i="5"/>
  <c r="C19" i="5"/>
  <c r="C21" i="5" s="1"/>
  <c r="C23" i="5" s="1"/>
  <c r="F17" i="5"/>
  <c r="E17" i="5"/>
  <c r="D17" i="5"/>
  <c r="D13" i="5"/>
  <c r="F25" i="4"/>
  <c r="E25" i="4"/>
  <c r="D25" i="4"/>
  <c r="C25" i="4"/>
  <c r="B25" i="4"/>
  <c r="F14" i="3"/>
  <c r="F16" i="3" s="1"/>
  <c r="F20" i="3" s="1"/>
  <c r="D14" i="3"/>
  <c r="D16" i="3" s="1"/>
  <c r="D20" i="3" s="1"/>
  <c r="D22" i="3" s="1"/>
  <c r="E14" i="3"/>
  <c r="E16" i="3" s="1"/>
  <c r="E20" i="3" s="1"/>
  <c r="B14" i="3"/>
  <c r="C14" i="3"/>
  <c r="C17" i="9" l="1"/>
  <c r="C16" i="9"/>
  <c r="C18" i="9"/>
  <c r="H6" i="3"/>
  <c r="G15" i="3"/>
  <c r="C9" i="9" s="1"/>
  <c r="C10" i="9" s="1"/>
  <c r="G14" i="3"/>
  <c r="E19" i="5"/>
  <c r="E21" i="5" s="1"/>
  <c r="E23" i="5" s="1"/>
  <c r="F19" i="5"/>
  <c r="F21" i="5" s="1"/>
  <c r="F23" i="5" s="1"/>
  <c r="D19" i="5"/>
  <c r="D21" i="5" s="1"/>
  <c r="D23" i="5" s="1"/>
  <c r="B1" i="4"/>
  <c r="B16" i="3"/>
  <c r="B22" i="3" s="1"/>
  <c r="E22" i="3"/>
  <c r="F22" i="3"/>
  <c r="C16" i="3"/>
  <c r="C22" i="3" s="1"/>
  <c r="C19" i="9" l="1"/>
  <c r="C11" i="9" s="1"/>
  <c r="G16" i="3"/>
  <c r="D16" i="9"/>
  <c r="D18" i="9"/>
  <c r="D17" i="9"/>
  <c r="I6" i="3"/>
  <c r="H15" i="3"/>
  <c r="D9" i="9" s="1"/>
  <c r="D10" i="9" s="1"/>
  <c r="H14" i="3"/>
  <c r="C6" i="9" l="1"/>
  <c r="G20" i="3"/>
  <c r="G21" i="3" s="1"/>
  <c r="D19" i="9"/>
  <c r="D11" i="9" s="1"/>
  <c r="E18" i="9"/>
  <c r="E16" i="9"/>
  <c r="E17" i="9"/>
  <c r="I15" i="3"/>
  <c r="E9" i="9" s="1"/>
  <c r="E10" i="9" s="1"/>
  <c r="I14" i="3"/>
  <c r="J6" i="3"/>
  <c r="H16" i="3"/>
  <c r="G22" i="3" l="1"/>
  <c r="C7" i="9"/>
  <c r="E19" i="9"/>
  <c r="E11" i="9" s="1"/>
  <c r="F16" i="9"/>
  <c r="F18" i="9"/>
  <c r="F17" i="9"/>
  <c r="H20" i="3"/>
  <c r="D6" i="9"/>
  <c r="D7" i="9" s="1"/>
  <c r="D8" i="9" s="1"/>
  <c r="D12" i="9" s="1"/>
  <c r="D27" i="9" s="1"/>
  <c r="J15" i="3"/>
  <c r="F9" i="9" s="1"/>
  <c r="F10" i="9" s="1"/>
  <c r="J14" i="3"/>
  <c r="K6" i="3"/>
  <c r="I16" i="3"/>
  <c r="J16" i="3" l="1"/>
  <c r="H21" i="3"/>
  <c r="F19" i="9"/>
  <c r="F11" i="9" s="1"/>
  <c r="C8" i="9"/>
  <c r="C12" i="9" s="1"/>
  <c r="C27" i="9" s="1"/>
  <c r="G16" i="9"/>
  <c r="G18" i="9"/>
  <c r="G17" i="9"/>
  <c r="I20" i="3"/>
  <c r="E6" i="9"/>
  <c r="K15" i="3"/>
  <c r="G9" i="9" s="1"/>
  <c r="G10" i="9" s="1"/>
  <c r="K14" i="3"/>
  <c r="I21" i="3"/>
  <c r="H22" i="3"/>
  <c r="J20" i="3" l="1"/>
  <c r="F6" i="9"/>
  <c r="K16" i="3"/>
  <c r="J21" i="3"/>
  <c r="I22" i="3"/>
  <c r="F7" i="9"/>
  <c r="E7" i="9"/>
  <c r="G19" i="9"/>
  <c r="G11" i="9" s="1"/>
  <c r="G6" i="9"/>
  <c r="K20" i="3" l="1"/>
  <c r="J22" i="3"/>
  <c r="K21" i="3"/>
  <c r="G7" i="9"/>
  <c r="F8" i="9"/>
  <c r="F12" i="9" s="1"/>
  <c r="F27" i="9" s="1"/>
  <c r="E8" i="9"/>
  <c r="E12" i="9" s="1"/>
  <c r="E27" i="9" s="1"/>
  <c r="G8" i="9" l="1"/>
  <c r="G12" i="9" s="1"/>
  <c r="K22" i="3"/>
  <c r="G29" i="9" l="1"/>
  <c r="G30" i="9" s="1"/>
  <c r="G27" i="9"/>
  <c r="B32" i="9" s="1"/>
  <c r="B35" i="9" s="1"/>
  <c r="B37" i="9" s="1"/>
  <c r="B40" i="9" s="1"/>
</calcChain>
</file>

<file path=xl/sharedStrings.xml><?xml version="1.0" encoding="utf-8"?>
<sst xmlns="http://schemas.openxmlformats.org/spreadsheetml/2006/main" count="130" uniqueCount="97">
  <si>
    <t>MASTER BALANCE CHECK</t>
  </si>
  <si>
    <t>Line Items</t>
  </si>
  <si>
    <t>FY22</t>
  </si>
  <si>
    <t>FY23</t>
  </si>
  <si>
    <t>FY24</t>
  </si>
  <si>
    <t>FY25</t>
  </si>
  <si>
    <t>FY26</t>
  </si>
  <si>
    <t>REVENUE FROM OPERATIONS</t>
  </si>
  <si>
    <t>COST OF MATERIALS CONSUMED</t>
  </si>
  <si>
    <t>PURCHASES OF STOCK-IN-TRADE</t>
  </si>
  <si>
    <t>CHANGES IN INVENTORIES</t>
  </si>
  <si>
    <t>GROSS PROFIT</t>
  </si>
  <si>
    <t>EMPLOYEE BENEFIT EXPENSES</t>
  </si>
  <si>
    <t>ADVERTSING &amp; SALES PROMOTION</t>
  </si>
  <si>
    <t>OTHER OPERATING EXPENSES</t>
  </si>
  <si>
    <t>EBITDA</t>
  </si>
  <si>
    <t>DEPRECIATION &amp; AMMORTIZATION</t>
  </si>
  <si>
    <t>EBIT</t>
  </si>
  <si>
    <t>FINANCE COSTS</t>
  </si>
  <si>
    <t>OTHER INCOME</t>
  </si>
  <si>
    <t>PBT (PROFIT BEFORE TAX)</t>
  </si>
  <si>
    <t>TAX EXPENSE</t>
  </si>
  <si>
    <t>PAT (PROFIT AFTER TAX)</t>
  </si>
  <si>
    <t>Exceptional Item</t>
  </si>
  <si>
    <t>CAPITAL WORK-IN-PROGRESS</t>
  </si>
  <si>
    <t>INTANGIBLE ASSETS</t>
  </si>
  <si>
    <t>OTHER NON-CURRENT ASSETS</t>
  </si>
  <si>
    <t>INVENTORIES</t>
  </si>
  <si>
    <t>TRADE RECIVABLES</t>
  </si>
  <si>
    <t>CASH &amp; CASH EQUIVALENTS</t>
  </si>
  <si>
    <t>OTHER CURRENT ASSETS</t>
  </si>
  <si>
    <t>TOTAL ASSETS</t>
  </si>
  <si>
    <t>PROPERTY, PLANT &amp; EQUIPMENT</t>
  </si>
  <si>
    <t>EQUITY SHARE CAPITAL</t>
  </si>
  <si>
    <t>LONG-TERM BORROWINGS</t>
  </si>
  <si>
    <t>OTHER NON-CURRENT LIABILITIES</t>
  </si>
  <si>
    <t>SHORT-TERM BORROWINGS</t>
  </si>
  <si>
    <t>TRADE PAYABLES</t>
  </si>
  <si>
    <t>OTHER CURRENT LIABILITIES</t>
  </si>
  <si>
    <t>TOTAL LIABILITIES &amp; EQUITY</t>
  </si>
  <si>
    <t>BALANCE CHECK</t>
  </si>
  <si>
    <t>OTHER EQUITY (RESERVE &amp; SURPLUS)</t>
  </si>
  <si>
    <t>LINE ITEMS</t>
  </si>
  <si>
    <t>PROFIT AFTER TAX (PAT)</t>
  </si>
  <si>
    <t>CHANGE IN OPERATING ASSETS</t>
  </si>
  <si>
    <t>CHANGE IN OPERATING LIABILITIES</t>
  </si>
  <si>
    <t>CASH FLOW FROM OPERATIONS</t>
  </si>
  <si>
    <t>CAPITAL  EXPENDITURE &amp; INTANGIBLES</t>
  </si>
  <si>
    <t>CASH FLOW FROM INVESTING</t>
  </si>
  <si>
    <t>CHANGE IN TOTAL BORROWINGS</t>
  </si>
  <si>
    <t>DIVIDENDS PAID &amp; EQUITY CHANGES</t>
  </si>
  <si>
    <t>CASH FLOW FROM FINANCING</t>
  </si>
  <si>
    <t>NET CHANGE IN CASH</t>
  </si>
  <si>
    <t>BEGINNING CASH BALANCE</t>
  </si>
  <si>
    <t>CALCULATED ENDING CASH</t>
  </si>
  <si>
    <t>CASH MATCH CHECK</t>
  </si>
  <si>
    <t>REVENUE GROWTH</t>
  </si>
  <si>
    <t>EBITDA MARGIN</t>
  </si>
  <si>
    <t>DEPRECIATION AS % OF SALES</t>
  </si>
  <si>
    <t>EFFECTIVE TAX RATE</t>
  </si>
  <si>
    <t>RECEIVABLE DAYS</t>
  </si>
  <si>
    <t>INVENTORY DAYS</t>
  </si>
  <si>
    <t>PAYABLE DAYS</t>
  </si>
  <si>
    <t>ACTIVE SCENARIO</t>
  </si>
  <si>
    <t>Base</t>
  </si>
  <si>
    <t>SCENARIO ASSUMPTIONS (FY27-FY31)</t>
  </si>
  <si>
    <t>BULL</t>
  </si>
  <si>
    <t>BEAR</t>
  </si>
  <si>
    <t>BASE</t>
  </si>
  <si>
    <t>FY27</t>
  </si>
  <si>
    <t>FY28</t>
  </si>
  <si>
    <t>FY29</t>
  </si>
  <si>
    <t>FY30</t>
  </si>
  <si>
    <t>FY31</t>
  </si>
  <si>
    <t>EBIT (OPERATING PROFIT)</t>
  </si>
  <si>
    <t>LESS: ADJUSTED CASH TAXES</t>
  </si>
  <si>
    <t>NOPAT</t>
  </si>
  <si>
    <t>ADD: DEPRECIATION &amp; AMMORTIZATION</t>
  </si>
  <si>
    <t>NET WORKING CAPITAL SCHEDULE</t>
  </si>
  <si>
    <t>TRADE RECEIVABLES</t>
  </si>
  <si>
    <t>TOTAL NET WORKING CAPITAL</t>
  </si>
  <si>
    <t>LESS: CAPITAL EXPENDITURES (CapEx))</t>
  </si>
  <si>
    <t>LESS: CHANGE IN NET WORKING CAPITAL</t>
  </si>
  <si>
    <t>UNLEVERED FREE CASH FLOW</t>
  </si>
  <si>
    <t>WACC (DISCOUNT RATE)</t>
  </si>
  <si>
    <t>TERMINAL GROWTH RATE</t>
  </si>
  <si>
    <t>YEAR NUMBER</t>
  </si>
  <si>
    <t>DISCOUNT FACTOR</t>
  </si>
  <si>
    <t>PV OF FREE CASH FLOW</t>
  </si>
  <si>
    <t>TERMINAL VALUE</t>
  </si>
  <si>
    <t>PV OF TERMINAL VALUE</t>
  </si>
  <si>
    <t>ENTERPISE VALUE</t>
  </si>
  <si>
    <t>ADD: CASH &amp; EQUIVALENTS</t>
  </si>
  <si>
    <t>LESS: TOTAL DEBT</t>
  </si>
  <si>
    <t>EQUITY VALUE</t>
  </si>
  <si>
    <t>SHARES OUTSTANDING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</si>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</sst>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206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Font="1"/>
    <xf numFmtId="2" fontId="0" fillId="0" borderId="0" xfId="0" applyNumberFormat="1"/>
    <xf numFmtId="43" fontId="0" fillId="0" borderId="0" xfId="1" applyFont="1" applyAlignment="1">
      <alignment horizontal="right"/>
    </xf>
    <xf numFmtId="43" fontId="0" fillId="0" borderId="0" xfId="1" applyFont="1"/>
    <xf numFmtId="43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2" borderId="0" xfId="0" applyFill="1"/>
    <xf numFmtId="43" fontId="3" fillId="0" borderId="0" xfId="0" applyNumberFormat="1" applyFont="1"/>
    <xf numFmtId="0" fontId="0" fillId="0" borderId="0" xfId="0" applyNumberFormat="1"/>
    <xf numFmtId="43" fontId="4" fillId="2" borderId="0" xfId="0" applyNumberFormat="1" applyFont="1" applyFill="1"/>
    <xf numFmtId="9" fontId="0" fillId="0" borderId="0" xfId="2" applyFont="1"/>
    <xf numFmtId="170" fontId="0" fillId="0" borderId="0" xfId="2" applyNumberFormat="1" applyFont="1"/>
  </cellXfs>
  <cellStyles count="3">
    <cellStyle name="Comma" xfId="1" builtinId="3"/>
    <cellStyle name="Normal" xfId="0" builtinId="0"/>
    <cellStyle name="Per 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0CF8-8D8B-824B-A007-C03782C54B29}">
  <dimension ref="A1"/>
  <sheetViews>
    <sheetView showGridLines="0" workbookViewId="0"/>
  </sheetViews>
  <sheetFormatPr baseColWidth="10" defaultRowHeight="16" x14ac:dyDescent="0.2"/>
  <cols>
    <col min="2" max="6" width="12.832031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919E-3B7B-5943-8D61-555DBE12AD32}">
  <dimension ref="A1"/>
  <sheetViews>
    <sheetView showGridLines="0" workbookViewId="0">
      <selection activeCell="I29" sqref="I29"/>
    </sheetView>
  </sheetViews>
  <sheetFormatPr baseColWidth="10" defaultRowHeight="16" x14ac:dyDescent="0.2"/>
  <cols>
    <col min="2" max="6" width="12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2137-F386-F94D-9482-F39129653C25}">
  <dimension ref="A4:K22"/>
  <sheetViews>
    <sheetView showGridLines="0" workbookViewId="0">
      <selection activeCell="B7" sqref="B7"/>
    </sheetView>
  </sheetViews>
  <sheetFormatPr baseColWidth="10" defaultRowHeight="16" x14ac:dyDescent="0.2"/>
  <cols>
    <col min="1" max="1" width="28.83203125" customWidth="1"/>
    <col min="2" max="11" width="12.83203125" customWidth="1"/>
  </cols>
  <sheetData>
    <row r="4" spans="1:11" x14ac:dyDescent="0.2">
      <c r="A4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69</v>
      </c>
      <c r="H4" s="2" t="s">
        <v>70</v>
      </c>
      <c r="I4" s="2" t="s">
        <v>71</v>
      </c>
      <c r="J4" s="2" t="s">
        <v>72</v>
      </c>
      <c r="K4" s="2" t="s">
        <v>73</v>
      </c>
    </row>
    <row r="6" spans="1:11" x14ac:dyDescent="0.2">
      <c r="A6" s="3" t="s">
        <v>7</v>
      </c>
      <c r="B6" s="7">
        <v>219648.88</v>
      </c>
      <c r="C6" s="8">
        <v>248601.52</v>
      </c>
      <c r="D6" s="8">
        <v>275693</v>
      </c>
      <c r="E6" s="8">
        <v>284698</v>
      </c>
      <c r="F6" s="8">
        <v>294429</v>
      </c>
      <c r="G6" s="9">
        <f>F6*(1+DRIVERS!G6)</f>
        <v>329760.48000000004</v>
      </c>
      <c r="H6" s="9">
        <f>G6*(1+DRIVERS!H6)</f>
        <v>369331.73760000005</v>
      </c>
      <c r="I6" s="9">
        <f>H6*(1+DRIVERS!I6)</f>
        <v>413651.54611200007</v>
      </c>
      <c r="J6" s="9">
        <f>I6*(1+DRIVERS!J6)</f>
        <v>463289.7316454401</v>
      </c>
      <c r="K6" s="9">
        <f>J6*(1+DRIVERS!K6)</f>
        <v>518884.49944289296</v>
      </c>
    </row>
    <row r="7" spans="1:11" x14ac:dyDescent="0.2">
      <c r="A7" s="3" t="s">
        <v>8</v>
      </c>
      <c r="B7" s="7">
        <v>109599.61</v>
      </c>
      <c r="C7" s="8">
        <v>129118.94</v>
      </c>
      <c r="D7" s="8">
        <v>124260</v>
      </c>
      <c r="E7" s="8">
        <v>135966</v>
      </c>
      <c r="F7" s="8">
        <v>147074</v>
      </c>
    </row>
    <row r="8" spans="1:11" x14ac:dyDescent="0.2">
      <c r="A8" s="3" t="s">
        <v>9</v>
      </c>
      <c r="B8" s="7">
        <v>19029.36</v>
      </c>
      <c r="C8" s="8">
        <v>14703.41</v>
      </c>
      <c r="D8" s="8">
        <v>15498</v>
      </c>
      <c r="E8" s="8">
        <v>7724</v>
      </c>
      <c r="F8" s="8">
        <v>9753</v>
      </c>
    </row>
    <row r="9" spans="1:11" x14ac:dyDescent="0.2">
      <c r="A9" s="3" t="s">
        <v>10</v>
      </c>
      <c r="B9" s="7">
        <v>-331.82</v>
      </c>
      <c r="C9" s="8">
        <v>-334.12</v>
      </c>
      <c r="D9" s="8">
        <v>626</v>
      </c>
      <c r="E9" s="8">
        <v>-1738</v>
      </c>
      <c r="F9" s="8">
        <v>-642</v>
      </c>
    </row>
    <row r="10" spans="1:11" x14ac:dyDescent="0.2">
      <c r="A10" s="1" t="s">
        <v>11</v>
      </c>
      <c r="B10" s="7">
        <f>B6-SUM(B7:B9)</f>
        <v>91351.73000000001</v>
      </c>
      <c r="C10" s="8">
        <f>C6-SUM(C7:C9)</f>
        <v>105113.28999999998</v>
      </c>
      <c r="D10" s="8">
        <f t="shared" ref="D10:F10" si="0">D6-SUM(D7:D9)</f>
        <v>135309</v>
      </c>
      <c r="E10" s="8">
        <f t="shared" si="0"/>
        <v>142746</v>
      </c>
      <c r="F10" s="8">
        <f t="shared" si="0"/>
        <v>138244</v>
      </c>
    </row>
    <row r="11" spans="1:11" x14ac:dyDescent="0.2">
      <c r="A11" s="3" t="s">
        <v>12</v>
      </c>
      <c r="B11" s="7">
        <v>24744.95</v>
      </c>
      <c r="C11" s="8">
        <v>26440.9</v>
      </c>
      <c r="D11" s="8">
        <v>30052</v>
      </c>
      <c r="E11" s="8">
        <v>32581</v>
      </c>
      <c r="F11" s="8">
        <v>34131</v>
      </c>
    </row>
    <row r="12" spans="1:11" x14ac:dyDescent="0.2">
      <c r="A12" s="4" t="s">
        <v>13</v>
      </c>
      <c r="B12" s="7">
        <v>15991.22</v>
      </c>
      <c r="C12" s="8">
        <v>17432.52</v>
      </c>
      <c r="D12" s="8">
        <v>22823</v>
      </c>
      <c r="E12" s="8">
        <v>23972</v>
      </c>
      <c r="F12" s="8">
        <v>22746</v>
      </c>
    </row>
    <row r="13" spans="1:11" x14ac:dyDescent="0.2">
      <c r="A13" s="4" t="s">
        <v>14</v>
      </c>
      <c r="B13" s="7">
        <f>41784.27-B12</f>
        <v>25793.049999999996</v>
      </c>
      <c r="C13" s="8">
        <f>47085.7-C12</f>
        <v>29653.179999999997</v>
      </c>
      <c r="D13" s="8">
        <f>57277-D12</f>
        <v>34454</v>
      </c>
      <c r="E13" s="8">
        <f>60206-E12</f>
        <v>36234</v>
      </c>
      <c r="F13" s="8">
        <f>59127-F12</f>
        <v>36381</v>
      </c>
    </row>
    <row r="14" spans="1:11" x14ac:dyDescent="0.2">
      <c r="A14" t="s">
        <v>15</v>
      </c>
      <c r="B14" s="7">
        <f>B10-SUM(B11:B13)</f>
        <v>24822.510000000009</v>
      </c>
      <c r="C14" s="8">
        <f>C10-SUM(C11:C13)</f>
        <v>31586.689999999988</v>
      </c>
      <c r="D14" s="8">
        <f t="shared" ref="D14:F14" si="1">D10-SUM(D11:D13)</f>
        <v>47980</v>
      </c>
      <c r="E14" s="8">
        <f t="shared" si="1"/>
        <v>49959</v>
      </c>
      <c r="F14" s="8">
        <f t="shared" si="1"/>
        <v>44986</v>
      </c>
      <c r="G14" s="9">
        <f>G6*DRIVERS!G7</f>
        <v>46166.467200000006</v>
      </c>
      <c r="H14" s="9">
        <f>H6*DRIVERS!H7</f>
        <v>51706.443264000009</v>
      </c>
      <c r="I14" s="9">
        <f>I6*DRIVERS!I7</f>
        <v>57911.216455680013</v>
      </c>
      <c r="J14" s="9">
        <f>J6*DRIVERS!J7</f>
        <v>64860.56243036162</v>
      </c>
      <c r="K14" s="9">
        <f>K6*DRIVERS!K7</f>
        <v>72643.829922005025</v>
      </c>
    </row>
    <row r="15" spans="1:11" x14ac:dyDescent="0.2">
      <c r="A15" s="4" t="s">
        <v>16</v>
      </c>
      <c r="B15" s="7">
        <v>5816.72</v>
      </c>
      <c r="C15" s="8">
        <v>5012.32</v>
      </c>
      <c r="D15" s="8">
        <v>4996</v>
      </c>
      <c r="E15" s="8">
        <v>5613</v>
      </c>
      <c r="F15" s="8">
        <v>6124</v>
      </c>
      <c r="G15" s="9">
        <f>G6*DRIVERS!G8</f>
        <v>6858.880000000001</v>
      </c>
      <c r="H15" s="9">
        <f>H6*DRIVERS!H8</f>
        <v>7681.9456000000009</v>
      </c>
      <c r="I15" s="9">
        <f>I6*DRIVERS!I8</f>
        <v>8603.7790720000012</v>
      </c>
      <c r="J15" s="9">
        <f>J6*DRIVERS!J8</f>
        <v>9636.2325606400009</v>
      </c>
      <c r="K15" s="9">
        <f>K6*DRIVERS!K8</f>
        <v>10792.580467916803</v>
      </c>
    </row>
    <row r="16" spans="1:11" x14ac:dyDescent="0.2">
      <c r="A16" s="5" t="s">
        <v>17</v>
      </c>
      <c r="B16" s="7">
        <f>B14-B15</f>
        <v>19005.790000000008</v>
      </c>
      <c r="C16" s="8">
        <f t="shared" ref="C16:F16" si="2">C14-C15</f>
        <v>26574.369999999988</v>
      </c>
      <c r="D16" s="8">
        <f t="shared" si="2"/>
        <v>42984</v>
      </c>
      <c r="E16" s="8">
        <f t="shared" si="2"/>
        <v>44346</v>
      </c>
      <c r="F16" s="8">
        <f t="shared" si="2"/>
        <v>38862</v>
      </c>
      <c r="G16" s="9">
        <f>G14-G15</f>
        <v>39307.587200000009</v>
      </c>
      <c r="H16" s="9">
        <f t="shared" ref="H16:K16" si="3">H14-H15</f>
        <v>44024.49766400001</v>
      </c>
      <c r="I16" s="9">
        <f t="shared" si="3"/>
        <v>49307.437383680008</v>
      </c>
      <c r="J16" s="9">
        <f t="shared" si="3"/>
        <v>55224.329869721623</v>
      </c>
      <c r="K16" s="9">
        <f t="shared" si="3"/>
        <v>61851.249454088218</v>
      </c>
    </row>
    <row r="17" spans="1:11" x14ac:dyDescent="0.2">
      <c r="A17" s="4" t="s">
        <v>18</v>
      </c>
      <c r="B17" s="7">
        <v>1180.56</v>
      </c>
      <c r="C17" s="8">
        <v>1309.0899999999999</v>
      </c>
      <c r="D17" s="8">
        <v>473</v>
      </c>
      <c r="E17" s="8">
        <v>593</v>
      </c>
      <c r="F17" s="8">
        <v>499</v>
      </c>
      <c r="G17" s="9">
        <f>F17</f>
        <v>499</v>
      </c>
      <c r="H17" s="9">
        <f t="shared" ref="H17:K17" si="4">G17</f>
        <v>499</v>
      </c>
      <c r="I17" s="9">
        <f t="shared" si="4"/>
        <v>499</v>
      </c>
      <c r="J17" s="9">
        <f t="shared" si="4"/>
        <v>499</v>
      </c>
      <c r="K17" s="9">
        <f t="shared" si="4"/>
        <v>499</v>
      </c>
    </row>
    <row r="18" spans="1:11" x14ac:dyDescent="0.2">
      <c r="A18" s="4" t="s">
        <v>19</v>
      </c>
      <c r="B18" s="7">
        <v>1866.91</v>
      </c>
      <c r="C18" s="8">
        <v>3953.29</v>
      </c>
      <c r="D18" s="8">
        <v>5373</v>
      </c>
      <c r="E18" s="8">
        <v>5558</v>
      </c>
      <c r="F18" s="8">
        <v>6756</v>
      </c>
      <c r="G18" s="9">
        <f>F18</f>
        <v>6756</v>
      </c>
      <c r="H18" s="9">
        <f t="shared" ref="H18:K18" si="5">G18</f>
        <v>6756</v>
      </c>
      <c r="I18" s="9">
        <f t="shared" si="5"/>
        <v>6756</v>
      </c>
      <c r="J18" s="9">
        <f t="shared" si="5"/>
        <v>6756</v>
      </c>
      <c r="K18" s="9">
        <f t="shared" si="5"/>
        <v>6756</v>
      </c>
    </row>
    <row r="19" spans="1:11" x14ac:dyDescent="0.2">
      <c r="A19" s="4" t="s">
        <v>23</v>
      </c>
      <c r="B19" s="7">
        <v>0</v>
      </c>
      <c r="C19" s="8">
        <v>703.29</v>
      </c>
      <c r="D19" s="8">
        <v>0</v>
      </c>
      <c r="E19" s="8">
        <v>-430</v>
      </c>
      <c r="F19" s="8">
        <v>0</v>
      </c>
      <c r="G19">
        <f>0</f>
        <v>0</v>
      </c>
      <c r="H19">
        <f>0</f>
        <v>0</v>
      </c>
      <c r="I19">
        <f>0</f>
        <v>0</v>
      </c>
      <c r="J19">
        <f>0</f>
        <v>0</v>
      </c>
      <c r="K19">
        <f>0</f>
        <v>0</v>
      </c>
    </row>
    <row r="20" spans="1:11" x14ac:dyDescent="0.2">
      <c r="A20" s="5" t="s">
        <v>20</v>
      </c>
      <c r="B20" s="8">
        <f>B16 - B17 + B18 + B19</f>
        <v>19692.140000000007</v>
      </c>
      <c r="C20" s="8">
        <f>C16 - C17 + C18 + C19</f>
        <v>29921.85999999999</v>
      </c>
      <c r="D20" s="8">
        <f t="shared" ref="D20:F20" si="6">D16 - D17 + D18 + D19</f>
        <v>47884</v>
      </c>
      <c r="E20" s="8">
        <f t="shared" si="6"/>
        <v>48881</v>
      </c>
      <c r="F20" s="8">
        <f t="shared" si="6"/>
        <v>45119</v>
      </c>
      <c r="G20" s="8">
        <f>G16-G17+G18+G19</f>
        <v>45564.587200000009</v>
      </c>
      <c r="H20" s="8">
        <f t="shared" ref="H20:K20" si="7">H16-H17+H18+H19</f>
        <v>50281.49766400001</v>
      </c>
      <c r="I20" s="8">
        <f t="shared" si="7"/>
        <v>55564.437383680008</v>
      </c>
      <c r="J20" s="8">
        <f t="shared" si="7"/>
        <v>61481.329869721623</v>
      </c>
      <c r="K20" s="8">
        <f t="shared" si="7"/>
        <v>68108.249454088218</v>
      </c>
    </row>
    <row r="21" spans="1:11" x14ac:dyDescent="0.2">
      <c r="A21" s="4" t="s">
        <v>21</v>
      </c>
      <c r="B21" s="7">
        <v>3779.11</v>
      </c>
      <c r="C21" s="8">
        <v>5949.22</v>
      </c>
      <c r="D21" s="8">
        <v>10954</v>
      </c>
      <c r="E21" s="8">
        <v>11843</v>
      </c>
      <c r="F21" s="8">
        <v>11800</v>
      </c>
      <c r="G21" s="9">
        <f>G20*DRIVERS!G9</f>
        <v>11916.534696247702</v>
      </c>
      <c r="H21" s="9">
        <f>H20*DRIVERS!H9</f>
        <v>13150.151209805183</v>
      </c>
      <c r="I21" s="9">
        <f>I20*DRIVERS!I9</f>
        <v>14531.801704989562</v>
      </c>
      <c r="J21" s="9">
        <f>J20*DRIVERS!J9</f>
        <v>16079.25025959607</v>
      </c>
      <c r="K21" s="9">
        <f>K20*DRIVERS!K9</f>
        <v>17812.392640755355</v>
      </c>
    </row>
    <row r="22" spans="1:11" x14ac:dyDescent="0.2">
      <c r="A22" s="4" t="s">
        <v>22</v>
      </c>
      <c r="B22" s="7">
        <f>B20-B21</f>
        <v>15913.030000000006</v>
      </c>
      <c r="C22" s="8">
        <f>C20-C21</f>
        <v>23972.639999999989</v>
      </c>
      <c r="D22" s="8">
        <f t="shared" ref="D22:F22" si="8">D20-D21</f>
        <v>36930</v>
      </c>
      <c r="E22" s="8">
        <f t="shared" si="8"/>
        <v>37038</v>
      </c>
      <c r="F22" s="8">
        <f t="shared" si="8"/>
        <v>33319</v>
      </c>
      <c r="G22" s="9">
        <f>G20-G21</f>
        <v>33648.052503752304</v>
      </c>
      <c r="H22" s="9">
        <f t="shared" ref="H22:K22" si="9">H20-H21</f>
        <v>37131.346454194827</v>
      </c>
      <c r="I22" s="9">
        <f t="shared" si="9"/>
        <v>41032.635678690443</v>
      </c>
      <c r="J22" s="9">
        <f t="shared" si="9"/>
        <v>45402.079610125555</v>
      </c>
      <c r="K22" s="9">
        <f t="shared" si="9"/>
        <v>50295.856813332866</v>
      </c>
    </row>
  </sheetData>
  <pageMargins left="0.7" right="0.7" top="0.75" bottom="0.75" header="0.3" footer="0.3"/>
  <ignoredErrors>
    <ignoredError sqref="C20 D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1FEB-4BE4-C240-865A-59493AAC7822}">
  <dimension ref="A1:F25"/>
  <sheetViews>
    <sheetView showGridLines="0" workbookViewId="0">
      <selection activeCell="F6" sqref="F6"/>
    </sheetView>
  </sheetViews>
  <sheetFormatPr baseColWidth="10" defaultRowHeight="16" x14ac:dyDescent="0.2"/>
  <cols>
    <col min="1" max="1" width="32.1640625" customWidth="1"/>
    <col min="2" max="6" width="12.83203125" customWidth="1"/>
  </cols>
  <sheetData>
    <row r="1" spans="1:6" x14ac:dyDescent="0.2">
      <c r="A1" t="s">
        <v>0</v>
      </c>
      <c r="B1" t="str">
        <f>IF(SUM(B25:F25)=0, "OK", "ERROR")</f>
        <v>OK</v>
      </c>
    </row>
    <row r="4" spans="1:6" x14ac:dyDescent="0.2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6" spans="1:6" x14ac:dyDescent="0.2">
      <c r="A6" s="4" t="s">
        <v>32</v>
      </c>
      <c r="B6" s="8">
        <v>29049.96</v>
      </c>
      <c r="C6" s="8">
        <v>28080.03</v>
      </c>
      <c r="D6" s="8">
        <v>28687</v>
      </c>
      <c r="E6" s="8">
        <v>29288</v>
      </c>
      <c r="F6" s="8">
        <v>34723</v>
      </c>
    </row>
    <row r="7" spans="1:6" x14ac:dyDescent="0.2">
      <c r="A7" s="4" t="s">
        <v>24</v>
      </c>
      <c r="B7" s="8">
        <v>758.98</v>
      </c>
      <c r="C7" s="8">
        <v>1548.29</v>
      </c>
      <c r="D7" s="8">
        <v>1337</v>
      </c>
      <c r="E7" s="8">
        <v>2242</v>
      </c>
      <c r="F7" s="8">
        <v>952</v>
      </c>
    </row>
    <row r="8" spans="1:6" x14ac:dyDescent="0.2">
      <c r="A8" s="4" t="s">
        <v>25</v>
      </c>
      <c r="B8" s="8">
        <f>79026.14</f>
        <v>79026.14</v>
      </c>
      <c r="C8" s="8">
        <f>78633.19+612</f>
        <v>79245.19</v>
      </c>
      <c r="D8" s="8">
        <f>78633+545</f>
        <v>79178</v>
      </c>
      <c r="E8" s="8">
        <f>78633+627</f>
        <v>79260</v>
      </c>
      <c r="F8" s="8">
        <f>10524+537</f>
        <v>11061</v>
      </c>
    </row>
    <row r="9" spans="1:6" x14ac:dyDescent="0.2">
      <c r="A9" s="4" t="s">
        <v>26</v>
      </c>
      <c r="B9" s="8">
        <v>21028.79</v>
      </c>
      <c r="C9" s="8">
        <f>4309.06+1511.61+8451.71+1139.36+4371.3</f>
        <v>19783.04</v>
      </c>
      <c r="D9" s="8">
        <f>4661+1589+5944+586+4191</f>
        <v>16971</v>
      </c>
      <c r="E9" s="8">
        <f>5586+1456+2734+2128+5241</f>
        <v>17145</v>
      </c>
      <c r="F9" s="8">
        <f>4653+19598+296+545+4105</f>
        <v>29197</v>
      </c>
    </row>
    <row r="10" spans="1:6" x14ac:dyDescent="0.2">
      <c r="A10" s="4" t="s">
        <v>27</v>
      </c>
      <c r="B10" s="8">
        <v>29722.62</v>
      </c>
      <c r="C10" s="8">
        <v>30186.26</v>
      </c>
      <c r="D10" s="8">
        <v>28350</v>
      </c>
      <c r="E10" s="8">
        <f>32805</f>
        <v>32805</v>
      </c>
      <c r="F10" s="8">
        <f>34441</f>
        <v>34441</v>
      </c>
    </row>
    <row r="11" spans="1:6" x14ac:dyDescent="0.2">
      <c r="A11" s="4" t="s">
        <v>28</v>
      </c>
      <c r="B11" s="8">
        <v>14308.39</v>
      </c>
      <c r="C11" s="8">
        <v>13781.5</v>
      </c>
      <c r="D11" s="8">
        <v>20139</v>
      </c>
      <c r="E11" s="8">
        <f>27444</f>
        <v>27444</v>
      </c>
      <c r="F11" s="8">
        <f>25660</f>
        <v>25660</v>
      </c>
    </row>
    <row r="12" spans="1:6" x14ac:dyDescent="0.2">
      <c r="A12" s="4" t="s">
        <v>29</v>
      </c>
      <c r="B12" s="8">
        <v>21120.06</v>
      </c>
      <c r="C12" s="8">
        <f>10565.24+17781.66</f>
        <v>28346.9</v>
      </c>
      <c r="D12" s="8">
        <f>8439+8166</f>
        <v>16605</v>
      </c>
      <c r="E12" s="8">
        <f>7718+6517</f>
        <v>14235</v>
      </c>
      <c r="F12" s="8">
        <f>5259+25744</f>
        <v>31003</v>
      </c>
    </row>
    <row r="13" spans="1:6" x14ac:dyDescent="0.2">
      <c r="A13" s="4" t="s">
        <v>30</v>
      </c>
      <c r="B13" s="8">
        <v>7263.17</v>
      </c>
      <c r="C13" s="8">
        <f>233.88+4409.54+556.59</f>
        <v>5200.01</v>
      </c>
      <c r="D13" s="8">
        <f>26424+3250+0+19152</f>
        <v>48826</v>
      </c>
      <c r="E13" s="8">
        <f>4666+45647+16346</f>
        <v>66659</v>
      </c>
      <c r="F13" s="8">
        <f>50628+486+7085</f>
        <v>58199</v>
      </c>
    </row>
    <row r="14" spans="1:6" x14ac:dyDescent="0.2">
      <c r="A14" t="s">
        <v>31</v>
      </c>
      <c r="B14" s="8">
        <f>SUM(B6:B13)</f>
        <v>202278.11000000002</v>
      </c>
      <c r="C14" s="8">
        <f t="shared" ref="C14:F14" si="0">SUM(C6:C13)</f>
        <v>206171.22000000003</v>
      </c>
      <c r="D14" s="8">
        <f t="shared" si="0"/>
        <v>240093</v>
      </c>
      <c r="E14" s="8">
        <f t="shared" si="0"/>
        <v>269078</v>
      </c>
      <c r="F14" s="8">
        <f t="shared" si="0"/>
        <v>225236</v>
      </c>
    </row>
    <row r="15" spans="1:6" x14ac:dyDescent="0.2">
      <c r="B15" s="8"/>
      <c r="C15" s="8"/>
      <c r="D15" s="8"/>
      <c r="E15" s="8"/>
      <c r="F15" s="8"/>
    </row>
    <row r="16" spans="1:6" x14ac:dyDescent="0.2">
      <c r="A16" s="4" t="s">
        <v>33</v>
      </c>
      <c r="B16" s="8">
        <v>3672.09</v>
      </c>
      <c r="C16" s="8">
        <v>3672.09</v>
      </c>
      <c r="D16" s="8">
        <v>3672</v>
      </c>
      <c r="E16" s="8">
        <f>3672</f>
        <v>3672</v>
      </c>
      <c r="F16" s="8">
        <v>3672</v>
      </c>
    </row>
    <row r="17" spans="1:6" x14ac:dyDescent="0.2">
      <c r="A17" s="4" t="s">
        <v>41</v>
      </c>
      <c r="B17" s="8">
        <v>136619.35999999999</v>
      </c>
      <c r="C17" s="8">
        <f>151226.86+205.91</f>
        <v>151432.76999999999</v>
      </c>
      <c r="D17" s="8">
        <f>177159+190</f>
        <v>177349</v>
      </c>
      <c r="E17" s="8">
        <v>201279</v>
      </c>
      <c r="F17" s="8">
        <v>155189</v>
      </c>
    </row>
    <row r="18" spans="1:6" x14ac:dyDescent="0.2">
      <c r="A18" s="4" t="s">
        <v>34</v>
      </c>
      <c r="B18" s="8">
        <v>0</v>
      </c>
      <c r="C18" s="8">
        <v>0</v>
      </c>
      <c r="D18" s="8">
        <v>0</v>
      </c>
      <c r="E18" s="8">
        <f>0</f>
        <v>0</v>
      </c>
      <c r="F18" s="8"/>
    </row>
    <row r="19" spans="1:6" x14ac:dyDescent="0.2">
      <c r="A19" s="4" t="s">
        <v>35</v>
      </c>
      <c r="B19" s="8">
        <v>9913.7000000000007</v>
      </c>
      <c r="C19" s="8">
        <f>2800.35+7082.27+552.45</f>
        <v>10435.070000000002</v>
      </c>
      <c r="D19" s="8">
        <f>2591+8024+403</f>
        <v>11018</v>
      </c>
      <c r="E19" s="8">
        <f>9052+346+3652</f>
        <v>13050</v>
      </c>
      <c r="F19" s="8">
        <f>2645+7334+747</f>
        <v>10726</v>
      </c>
    </row>
    <row r="20" spans="1:6" x14ac:dyDescent="0.2">
      <c r="A20" s="4" t="s">
        <v>36</v>
      </c>
      <c r="B20" s="8">
        <v>12653.69</v>
      </c>
      <c r="C20" s="8">
        <v>0</v>
      </c>
      <c r="D20" s="8">
        <v>0</v>
      </c>
      <c r="E20" s="8">
        <f>0</f>
        <v>0</v>
      </c>
      <c r="F20" s="8"/>
    </row>
    <row r="21" spans="1:6" x14ac:dyDescent="0.2">
      <c r="A21" s="4" t="s">
        <v>37</v>
      </c>
      <c r="B21" s="8">
        <v>23641.47</v>
      </c>
      <c r="C21" s="8">
        <f>5059.3+16375.54</f>
        <v>21434.84</v>
      </c>
      <c r="D21" s="8">
        <f>4959+22647</f>
        <v>27606</v>
      </c>
      <c r="E21" s="8">
        <f>3335+25697</f>
        <v>29032</v>
      </c>
      <c r="F21" s="8">
        <f>4639+27025</f>
        <v>31664</v>
      </c>
    </row>
    <row r="22" spans="1:6" x14ac:dyDescent="0.2">
      <c r="A22" s="4" t="s">
        <v>38</v>
      </c>
      <c r="B22" s="8">
        <v>15777.8</v>
      </c>
      <c r="C22" s="8">
        <f>1853.22+3169.52+11733.33+2183.57+256.81</f>
        <v>19196.45</v>
      </c>
      <c r="D22" s="8">
        <f>2465+11675+2833+46+3429</f>
        <v>20448</v>
      </c>
      <c r="E22" s="8">
        <f>2476+3858+12268+3106+337</f>
        <v>22045</v>
      </c>
      <c r="F22" s="8">
        <f>2513+3356+11898+5573+645</f>
        <v>23985</v>
      </c>
    </row>
    <row r="23" spans="1:6" x14ac:dyDescent="0.2">
      <c r="A23" s="5" t="s">
        <v>39</v>
      </c>
      <c r="B23" s="8">
        <f>SUM(B16:B22)</f>
        <v>202278.11</v>
      </c>
      <c r="C23" s="8">
        <f>SUM(C16:C22)</f>
        <v>206171.22</v>
      </c>
      <c r="D23" s="8">
        <f>SUM(D16:D22)</f>
        <v>240093</v>
      </c>
      <c r="E23" s="8">
        <f>SUM(E16:E22)</f>
        <v>269078</v>
      </c>
      <c r="F23" s="8">
        <f>SUM(F16:F22)</f>
        <v>225236</v>
      </c>
    </row>
    <row r="24" spans="1:6" x14ac:dyDescent="0.2">
      <c r="B24" s="8"/>
    </row>
    <row r="25" spans="1:6" x14ac:dyDescent="0.2">
      <c r="A25" s="4" t="s">
        <v>40</v>
      </c>
      <c r="B25" s="8">
        <f>ROUND(B14-B23,1)</f>
        <v>0</v>
      </c>
      <c r="C25">
        <f t="shared" ref="C25:F25" si="1">ROUND(C14-C23,1)</f>
        <v>0</v>
      </c>
      <c r="D25">
        <f t="shared" si="1"/>
        <v>0</v>
      </c>
      <c r="E25">
        <f t="shared" si="1"/>
        <v>0</v>
      </c>
      <c r="F25">
        <f t="shared" si="1"/>
        <v>0</v>
      </c>
    </row>
  </sheetData>
  <conditionalFormatting sqref="B1">
    <cfRule type="cellIs" dxfId="1" priority="1" operator="equal">
      <formula>"ERROR"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B8CF-0DBA-7B49-BA28-E7D54D1644B3}">
  <dimension ref="A4:F23"/>
  <sheetViews>
    <sheetView showGridLines="0" workbookViewId="0">
      <selection activeCell="E20" sqref="E20"/>
    </sheetView>
  </sheetViews>
  <sheetFormatPr baseColWidth="10" defaultRowHeight="16" x14ac:dyDescent="0.2"/>
  <cols>
    <col min="1" max="1" width="33.5" customWidth="1"/>
    <col min="2" max="6" width="12.83203125" customWidth="1"/>
  </cols>
  <sheetData>
    <row r="4" spans="1:6" x14ac:dyDescent="0.2">
      <c r="A4" t="s">
        <v>42</v>
      </c>
      <c r="C4" t="s">
        <v>3</v>
      </c>
      <c r="D4" t="s">
        <v>4</v>
      </c>
      <c r="E4" t="s">
        <v>5</v>
      </c>
      <c r="F4" t="s">
        <v>6</v>
      </c>
    </row>
    <row r="6" spans="1:6" x14ac:dyDescent="0.2">
      <c r="A6" t="s">
        <v>43</v>
      </c>
      <c r="C6" s="9">
        <f>IS!C22</f>
        <v>23972.639999999989</v>
      </c>
      <c r="D6" s="9">
        <f>IS!D22</f>
        <v>36930</v>
      </c>
      <c r="E6" s="9">
        <f>IS!E22</f>
        <v>37038</v>
      </c>
      <c r="F6" s="9">
        <f>IS!F22</f>
        <v>33319</v>
      </c>
    </row>
    <row r="7" spans="1:6" x14ac:dyDescent="0.2">
      <c r="A7" t="s">
        <v>16</v>
      </c>
      <c r="C7" s="9">
        <f>IS!C15</f>
        <v>5012.32</v>
      </c>
      <c r="D7" s="9">
        <f>IS!D15</f>
        <v>4996</v>
      </c>
      <c r="E7" s="9">
        <f>IS!E15</f>
        <v>5613</v>
      </c>
      <c r="F7" s="9">
        <f>IS!F15</f>
        <v>6124</v>
      </c>
    </row>
    <row r="8" spans="1:6" x14ac:dyDescent="0.2">
      <c r="A8" t="s">
        <v>44</v>
      </c>
      <c r="C8" s="9">
        <f>(BS!B10+BS!B11+BS!B13+BS!B9) - (BS!C10+BS!C11+BS!C13+BS!C9)</f>
        <v>3372.1600000000035</v>
      </c>
      <c r="D8" s="9">
        <f>(BS!C10+BS!C11+BS!C13+BS!C9) - (BS!D10+BS!D11+BS!D13+BS!D9)</f>
        <v>-45335.19</v>
      </c>
      <c r="E8" s="9">
        <f>(BS!D10+BS!D11+BS!D13+BS!D9) - (BS!E10+BS!E11+BS!E13+BS!E9)</f>
        <v>-29767</v>
      </c>
      <c r="F8" s="9">
        <f>(BS!E10+BS!E11+BS!E13+BS!E9) - (BS!F10+BS!F11+BS!F13+BS!F9)</f>
        <v>-3444</v>
      </c>
    </row>
    <row r="9" spans="1:6" x14ac:dyDescent="0.2">
      <c r="A9" t="s">
        <v>45</v>
      </c>
      <c r="C9" s="9">
        <f>(BS!C21+BS!C22+BS!C19) - (BS!B21+BS!B22+BS!B19)</f>
        <v>1733.3899999999994</v>
      </c>
      <c r="D9" s="9">
        <f>(BS!D21+BS!D22+BS!D19) - (BS!C21+BS!C22+BS!C19)</f>
        <v>8005.6399999999994</v>
      </c>
      <c r="E9" s="9">
        <f>(BS!E21+BS!E22+BS!E19) - (BS!D21+BS!D22+BS!D19)</f>
        <v>5055</v>
      </c>
      <c r="F9" s="9">
        <f>(BS!F21+BS!F22+BS!F19) - (BS!E21+BS!E22+BS!E19)</f>
        <v>2248</v>
      </c>
    </row>
    <row r="10" spans="1:6" x14ac:dyDescent="0.2">
      <c r="A10" t="s">
        <v>46</v>
      </c>
      <c r="C10" s="9">
        <f>SUM(C6:C9)</f>
        <v>34090.509999999995</v>
      </c>
      <c r="D10" s="9">
        <f t="shared" ref="D10:F10" si="0">SUM(D6:D9)</f>
        <v>4596.4499999999971</v>
      </c>
      <c r="E10" s="9">
        <f t="shared" si="0"/>
        <v>17939</v>
      </c>
      <c r="F10" s="9">
        <f t="shared" si="0"/>
        <v>38247</v>
      </c>
    </row>
    <row r="12" spans="1:6" x14ac:dyDescent="0.2">
      <c r="A12" t="s">
        <v>47</v>
      </c>
      <c r="C12" s="9">
        <f>(BS!B6+BS!B7+BS!B8) - (BS!C6+BS!C7+BS!C8) - IS!C15</f>
        <v>-5050.7500000000073</v>
      </c>
      <c r="D12" s="9">
        <f>(BS!C6+BS!C7+BS!C8) - (BS!D6+BS!D7+BS!D8) - IS!D15</f>
        <v>-5324.4899999999907</v>
      </c>
      <c r="E12" s="9">
        <f>(BS!D6+BS!D7+BS!D8) - (BS!E6+BS!E7+BS!E8) - IS!E15</f>
        <v>-7201</v>
      </c>
      <c r="F12" s="9">
        <f>(BS!E6+BS!E7+BS!E8) - (BS!F6+BS!F7+BS!F8) - IS!F15</f>
        <v>57930</v>
      </c>
    </row>
    <row r="13" spans="1:6" x14ac:dyDescent="0.2">
      <c r="A13" t="s">
        <v>48</v>
      </c>
      <c r="C13" s="9">
        <f>C12</f>
        <v>-5050.7500000000073</v>
      </c>
      <c r="D13" s="9">
        <f t="shared" ref="D13:F13" si="1">D12</f>
        <v>-5324.4899999999907</v>
      </c>
      <c r="E13" s="9">
        <f t="shared" si="1"/>
        <v>-7201</v>
      </c>
      <c r="F13" s="9">
        <f t="shared" si="1"/>
        <v>57930</v>
      </c>
    </row>
    <row r="15" spans="1:6" x14ac:dyDescent="0.2">
      <c r="A15" t="s">
        <v>49</v>
      </c>
      <c r="C15" s="9">
        <f>(BS!C18+BS!C20) - (BS!B18+BS!B20)</f>
        <v>-12653.69</v>
      </c>
      <c r="D15" s="9">
        <f>(BS!D18+BS!D20) - (BS!C18+BS!C20)</f>
        <v>0</v>
      </c>
      <c r="E15" s="9">
        <f>(BS!E18+BS!E20) - (BS!D18+BS!D20)</f>
        <v>0</v>
      </c>
      <c r="F15" s="9">
        <f>(BS!F18+BS!F20) - (BS!E18+BS!E20)</f>
        <v>0</v>
      </c>
    </row>
    <row r="16" spans="1:6" x14ac:dyDescent="0.2">
      <c r="A16" t="s">
        <v>50</v>
      </c>
      <c r="C16" s="9">
        <f>(BS!C16+BS!C17) - (BS!B16+BS!B17) - IS!C22</f>
        <v>-9159.229999999985</v>
      </c>
      <c r="D16" s="9">
        <f>(BS!D16+BS!D17) - (BS!C16+BS!C17) - IS!D22</f>
        <v>-11013.859999999986</v>
      </c>
      <c r="E16" s="9">
        <f>(BS!E16+BS!E17) - (BS!D16+BS!D17) - IS!E22</f>
        <v>-13108</v>
      </c>
      <c r="F16" s="9">
        <f>(BS!F16+BS!F17) - (BS!E16+BS!E17) - IS!F22</f>
        <v>-79409</v>
      </c>
    </row>
    <row r="17" spans="1:6" x14ac:dyDescent="0.2">
      <c r="A17" t="s">
        <v>51</v>
      </c>
      <c r="C17" s="9">
        <f>C15+C16</f>
        <v>-21812.919999999984</v>
      </c>
      <c r="D17" s="9">
        <f t="shared" ref="D17:F17" si="2">D15+D16</f>
        <v>-11013.859999999986</v>
      </c>
      <c r="E17" s="9">
        <f t="shared" si="2"/>
        <v>-13108</v>
      </c>
      <c r="F17" s="9">
        <f t="shared" si="2"/>
        <v>-79409</v>
      </c>
    </row>
    <row r="19" spans="1:6" x14ac:dyDescent="0.2">
      <c r="A19" t="s">
        <v>52</v>
      </c>
      <c r="C19" s="9">
        <f>C10+C13+C17</f>
        <v>7226.8400000000038</v>
      </c>
      <c r="D19" s="9">
        <f t="shared" ref="D19:F19" si="3">D10+D13+D17</f>
        <v>-11741.89999999998</v>
      </c>
      <c r="E19" s="9">
        <f t="shared" si="3"/>
        <v>-2370</v>
      </c>
      <c r="F19" s="9">
        <f t="shared" si="3"/>
        <v>16768</v>
      </c>
    </row>
    <row r="20" spans="1:6" x14ac:dyDescent="0.2">
      <c r="A20" t="s">
        <v>53</v>
      </c>
      <c r="C20" s="9">
        <f>BS!B12</f>
        <v>21120.06</v>
      </c>
      <c r="D20" s="9">
        <f>BS!C12</f>
        <v>28346.9</v>
      </c>
      <c r="E20" s="9">
        <f>BS!D12</f>
        <v>16605</v>
      </c>
      <c r="F20" s="9">
        <f>BS!E12</f>
        <v>14235</v>
      </c>
    </row>
    <row r="21" spans="1:6" x14ac:dyDescent="0.2">
      <c r="A21" t="s">
        <v>54</v>
      </c>
      <c r="C21" s="9">
        <f>C19+C20</f>
        <v>28346.900000000005</v>
      </c>
      <c r="D21" s="9">
        <f t="shared" ref="D21:F21" si="4">D19+D20</f>
        <v>16605.000000000022</v>
      </c>
      <c r="E21" s="9">
        <f t="shared" si="4"/>
        <v>14235</v>
      </c>
      <c r="F21" s="9">
        <f t="shared" si="4"/>
        <v>31003</v>
      </c>
    </row>
    <row r="23" spans="1:6" x14ac:dyDescent="0.2">
      <c r="A23" t="s">
        <v>55</v>
      </c>
      <c r="C23" s="9">
        <f>ROUND(C21-BS!C12,1)</f>
        <v>0</v>
      </c>
      <c r="D23" s="9">
        <f>ROUND(D21-BS!D12,1)</f>
        <v>0</v>
      </c>
      <c r="E23" s="9">
        <f>ROUND(E21-BS!E12,1)</f>
        <v>0</v>
      </c>
      <c r="F23" s="9">
        <f>ROUND(F21-BS!F12,1)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4665-875B-6443-8DFC-C718005C9773}">
  <dimension ref="A1"/>
  <sheetViews>
    <sheetView showGridLines="0" workbookViewId="0">
      <selection activeCell="I29" sqref="I29"/>
    </sheetView>
  </sheetViews>
  <sheetFormatPr baseColWidth="10" defaultRowHeight="16" x14ac:dyDescent="0.2"/>
  <cols>
    <col min="2" max="6" width="12.83203125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2BD7-4AF5-7E4A-BC37-0C920D72322C}">
  <dimension ref="A1:K23"/>
  <sheetViews>
    <sheetView showGridLines="0" zoomScale="70" workbookViewId="0">
      <selection activeCell="E1" sqref="E1"/>
    </sheetView>
  </sheetViews>
  <sheetFormatPr baseColWidth="10" defaultRowHeight="16" x14ac:dyDescent="0.2"/>
  <cols>
    <col min="1" max="1" width="32.6640625" customWidth="1"/>
    <col min="2" max="2" width="12.83203125" customWidth="1"/>
    <col min="3" max="3" width="16.5" customWidth="1"/>
    <col min="4" max="4" width="15.83203125" customWidth="1"/>
    <col min="5" max="6" width="12.83203125" customWidth="1"/>
  </cols>
  <sheetData>
    <row r="1" spans="1:11" x14ac:dyDescent="0.2">
      <c r="D1" s="11" t="s">
        <v>63</v>
      </c>
      <c r="E1" s="12" t="s">
        <v>64</v>
      </c>
    </row>
    <row r="4" spans="1:11" x14ac:dyDescent="0.2">
      <c r="A4" t="s">
        <v>42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</row>
    <row r="6" spans="1:11" x14ac:dyDescent="0.2">
      <c r="A6" t="s">
        <v>56</v>
      </c>
      <c r="B6" s="10"/>
      <c r="C6" s="10">
        <f>(IS!C6/IS!B6)-1</f>
        <v>0.13181328309072171</v>
      </c>
      <c r="D6" s="10">
        <f>(IS!D6/IS!C6)-1</f>
        <v>0.10897552034275582</v>
      </c>
      <c r="E6" s="10">
        <f>(IS!E6/IS!D6)-1</f>
        <v>3.2663143424026098E-2</v>
      </c>
      <c r="F6" s="10">
        <f>(IS!F6/IS!E6)-1</f>
        <v>3.4180078539364445E-2</v>
      </c>
      <c r="G6" s="10">
        <f>INDEX($C$17:$C$19, MATCH($E$1, $B$17:$B$19, 0))</f>
        <v>0.12</v>
      </c>
      <c r="H6" s="10">
        <f t="shared" ref="H6:K6" si="0">INDEX($C$17:$C$19, MATCH($E$1, $B$17:$B$19, 0))</f>
        <v>0.12</v>
      </c>
      <c r="I6" s="10">
        <f t="shared" si="0"/>
        <v>0.12</v>
      </c>
      <c r="J6" s="10">
        <f t="shared" si="0"/>
        <v>0.12</v>
      </c>
      <c r="K6" s="10">
        <f t="shared" si="0"/>
        <v>0.12</v>
      </c>
    </row>
    <row r="7" spans="1:11" x14ac:dyDescent="0.2">
      <c r="A7" t="s">
        <v>57</v>
      </c>
      <c r="B7" s="10">
        <f>IS!B14/IS!B6</f>
        <v>0.11300995479694688</v>
      </c>
      <c r="C7" s="10">
        <f>IS!C14/IS!C6</f>
        <v>0.12705750954378714</v>
      </c>
      <c r="D7" s="10">
        <f>IS!D14/IS!D6</f>
        <v>0.1740341611865372</v>
      </c>
      <c r="E7" s="10">
        <f>IS!E14/IS!E6</f>
        <v>0.17548068479581871</v>
      </c>
      <c r="F7" s="10">
        <f>IS!F14/IS!F6</f>
        <v>0.15279065581175769</v>
      </c>
      <c r="G7" s="10">
        <f>INDEX($D$17:$D$19, MATCH($E$1, $B$17:$B$19, 0))</f>
        <v>0.14000000000000001</v>
      </c>
      <c r="H7" s="10">
        <f t="shared" ref="H7:K7" si="1">INDEX($D$17:$D$19, MATCH($E$1, $B$17:$B$19, 0))</f>
        <v>0.14000000000000001</v>
      </c>
      <c r="I7" s="10">
        <f t="shared" si="1"/>
        <v>0.14000000000000001</v>
      </c>
      <c r="J7" s="10">
        <f t="shared" si="1"/>
        <v>0.14000000000000001</v>
      </c>
      <c r="K7" s="10">
        <f t="shared" si="1"/>
        <v>0.14000000000000001</v>
      </c>
    </row>
    <row r="8" spans="1:11" x14ac:dyDescent="0.2">
      <c r="A8" t="s">
        <v>58</v>
      </c>
      <c r="B8" s="10">
        <f>IS!B15/IS!B6</f>
        <v>2.6481901478395884E-2</v>
      </c>
      <c r="C8" s="10">
        <f>IS!C15/IS!C6</f>
        <v>2.0162064978524668E-2</v>
      </c>
      <c r="D8" s="10">
        <f>IS!D15/IS!D6</f>
        <v>1.8121606279448518E-2</v>
      </c>
      <c r="E8" s="10">
        <f>IS!E15/IS!E6</f>
        <v>1.9715628490540853E-2</v>
      </c>
      <c r="F8" s="10">
        <f>IS!F15/IS!F6</f>
        <v>2.0799581562957453E-2</v>
      </c>
      <c r="G8" s="10">
        <f>F8</f>
        <v>2.0799581562957453E-2</v>
      </c>
      <c r="H8" s="10">
        <f t="shared" ref="H8:K8" si="2">G8</f>
        <v>2.0799581562957453E-2</v>
      </c>
      <c r="I8" s="10">
        <f t="shared" si="2"/>
        <v>2.0799581562957453E-2</v>
      </c>
      <c r="J8" s="10">
        <f t="shared" si="2"/>
        <v>2.0799581562957453E-2</v>
      </c>
      <c r="K8" s="10">
        <f t="shared" si="2"/>
        <v>2.0799581562957453E-2</v>
      </c>
    </row>
    <row r="9" spans="1:11" x14ac:dyDescent="0.2">
      <c r="A9" t="s">
        <v>59</v>
      </c>
      <c r="B9" s="10">
        <f>IS!B21/IS!B20</f>
        <v>0.19190956391738018</v>
      </c>
      <c r="C9" s="10">
        <f>IS!C21/IS!C20</f>
        <v>0.19882520672177473</v>
      </c>
      <c r="D9" s="10">
        <f>IS!D21/IS!D20</f>
        <v>0.22876117283434969</v>
      </c>
      <c r="E9" s="10">
        <f>IS!E21/IS!E20</f>
        <v>0.24228227736748431</v>
      </c>
      <c r="F9" s="10">
        <f>IS!F21/IS!F20</f>
        <v>0.26153061902967706</v>
      </c>
      <c r="G9" s="10">
        <f>F9</f>
        <v>0.26153061902967706</v>
      </c>
      <c r="H9" s="10">
        <f t="shared" ref="H9:K9" si="3">G9</f>
        <v>0.26153061902967706</v>
      </c>
      <c r="I9" s="10">
        <f t="shared" si="3"/>
        <v>0.26153061902967706</v>
      </c>
      <c r="J9" s="10">
        <f t="shared" si="3"/>
        <v>0.26153061902967706</v>
      </c>
      <c r="K9" s="10">
        <f t="shared" si="3"/>
        <v>0.26153061902967706</v>
      </c>
    </row>
    <row r="10" spans="1:11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t="s">
        <v>60</v>
      </c>
      <c r="B11" s="6">
        <f>(BS!B11/IS!B6)*365</f>
        <v>23.776867653502261</v>
      </c>
      <c r="C11" s="6">
        <f>(BS!C11/IS!C6)*365</f>
        <v>20.234178375096018</v>
      </c>
      <c r="D11" s="6">
        <f>(BS!D11/IS!D6)*365</f>
        <v>26.66275531116133</v>
      </c>
      <c r="E11" s="6">
        <f>(BS!E11/IS!E6)*365</f>
        <v>35.184862556112094</v>
      </c>
      <c r="F11" s="6">
        <f>(BS!F11/IS!F6)*365</f>
        <v>31.810385525882303</v>
      </c>
      <c r="G11" s="6">
        <f>F11</f>
        <v>31.810385525882303</v>
      </c>
      <c r="H11" s="6">
        <f t="shared" ref="H11:K11" si="4">G11</f>
        <v>31.810385525882303</v>
      </c>
      <c r="I11" s="6">
        <f t="shared" si="4"/>
        <v>31.810385525882303</v>
      </c>
      <c r="J11" s="6">
        <f t="shared" si="4"/>
        <v>31.810385525882303</v>
      </c>
      <c r="K11" s="6">
        <f t="shared" si="4"/>
        <v>31.810385525882303</v>
      </c>
    </row>
    <row r="12" spans="1:11" x14ac:dyDescent="0.2">
      <c r="A12" t="s">
        <v>61</v>
      </c>
      <c r="B12" s="6">
        <f>(BS!B10/IS!B6)*365</f>
        <v>49.391357242522702</v>
      </c>
      <c r="C12" s="6">
        <f>(BS!C10/IS!C6)*365</f>
        <v>44.319861358852513</v>
      </c>
      <c r="D12" s="6">
        <f>(BS!D10/IS!D6)*365</f>
        <v>37.533597153355359</v>
      </c>
      <c r="E12" s="6">
        <f>(BS!E10/IS!E6)*365</f>
        <v>42.057987762471107</v>
      </c>
      <c r="F12" s="6">
        <f>(BS!F10/IS!F6)*365</f>
        <v>42.696082926613883</v>
      </c>
      <c r="G12" s="6">
        <f>F12</f>
        <v>42.696082926613883</v>
      </c>
      <c r="H12" s="6">
        <f>G12</f>
        <v>42.696082926613883</v>
      </c>
      <c r="I12" s="6">
        <f>H12</f>
        <v>42.696082926613883</v>
      </c>
      <c r="J12" s="6">
        <f>I12</f>
        <v>42.696082926613883</v>
      </c>
      <c r="K12" s="6">
        <f>J12</f>
        <v>42.696082926613883</v>
      </c>
    </row>
    <row r="13" spans="1:11" x14ac:dyDescent="0.2">
      <c r="A13" t="s">
        <v>62</v>
      </c>
      <c r="B13" s="6">
        <f>(BS!B21/IS!B6)*365</f>
        <v>39.286048487932192</v>
      </c>
      <c r="C13" s="6">
        <f>(BS!C21/IS!C6)*365</f>
        <v>31.470912164977914</v>
      </c>
      <c r="D13" s="6">
        <f>(BS!D21/IS!D6)*365</f>
        <v>36.548588466156197</v>
      </c>
      <c r="E13" s="6">
        <f>(BS!E21/IS!E6)*365</f>
        <v>37.220774294164343</v>
      </c>
      <c r="F13" s="6">
        <f>(BS!F21/IS!F6)*365</f>
        <v>39.253470276365441</v>
      </c>
      <c r="G13" s="6">
        <f>F13</f>
        <v>39.253470276365441</v>
      </c>
      <c r="H13" s="6">
        <f t="shared" ref="H13:K13" si="5">G13</f>
        <v>39.253470276365441</v>
      </c>
      <c r="I13" s="6">
        <f t="shared" si="5"/>
        <v>39.253470276365441</v>
      </c>
      <c r="J13" s="6">
        <f t="shared" si="5"/>
        <v>39.253470276365441</v>
      </c>
      <c r="K13" s="6">
        <f t="shared" si="5"/>
        <v>39.253470276365441</v>
      </c>
    </row>
    <row r="14" spans="1:11" x14ac:dyDescent="0.2">
      <c r="B14" s="6"/>
    </row>
    <row r="15" spans="1:11" x14ac:dyDescent="0.2">
      <c r="B15" s="6"/>
    </row>
    <row r="16" spans="1:11" x14ac:dyDescent="0.2">
      <c r="A16" s="11" t="s">
        <v>65</v>
      </c>
      <c r="B16" s="6"/>
      <c r="C16" t="s">
        <v>56</v>
      </c>
      <c r="D16" t="s">
        <v>57</v>
      </c>
    </row>
    <row r="17" spans="2:4" x14ac:dyDescent="0.2">
      <c r="B17" s="6" t="s">
        <v>68</v>
      </c>
      <c r="C17" s="10">
        <v>0.12</v>
      </c>
      <c r="D17" s="10">
        <v>0.14000000000000001</v>
      </c>
    </row>
    <row r="18" spans="2:4" x14ac:dyDescent="0.2">
      <c r="B18" s="6" t="s">
        <v>66</v>
      </c>
      <c r="C18" s="10">
        <v>0.15</v>
      </c>
      <c r="D18" s="10">
        <v>0.16</v>
      </c>
    </row>
    <row r="19" spans="2:4" x14ac:dyDescent="0.2">
      <c r="B19" s="6" t="s">
        <v>67</v>
      </c>
      <c r="C19" s="10">
        <v>0.08</v>
      </c>
      <c r="D19" s="10">
        <v>0.11</v>
      </c>
    </row>
    <row r="20" spans="2:4" x14ac:dyDescent="0.2">
      <c r="B20" s="10"/>
    </row>
    <row r="21" spans="2:4" x14ac:dyDescent="0.2">
      <c r="B21" s="10"/>
    </row>
    <row r="22" spans="2:4" x14ac:dyDescent="0.2">
      <c r="B22" s="10"/>
    </row>
    <row r="23" spans="2:4" x14ac:dyDescent="0.2">
      <c r="B23" s="10"/>
    </row>
  </sheetData>
  <dataValidations count="1">
    <dataValidation type="list" allowBlank="1" showInputMessage="1" showErrorMessage="1" sqref="E1" xr:uid="{4FFD8454-B32A-0549-BFDE-A9C7CE072050}">
      <formula1>"Base,Bull,Bear"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8781-9018-C347-8F64-D39149C55586}">
  <dimension ref="A4:G45"/>
  <sheetViews>
    <sheetView showGridLines="0" tabSelected="1" zoomScale="75" workbookViewId="0">
      <selection activeCell="A45" sqref="A45"/>
    </sheetView>
  </sheetViews>
  <sheetFormatPr baseColWidth="10" defaultRowHeight="16" x14ac:dyDescent="0.2"/>
  <cols>
    <col min="1" max="1" width="33.33203125" customWidth="1"/>
    <col min="2" max="7" width="12.83203125" customWidth="1"/>
  </cols>
  <sheetData>
    <row r="4" spans="1:7" x14ac:dyDescent="0.2">
      <c r="A4" t="s">
        <v>42</v>
      </c>
      <c r="B4" t="s">
        <v>6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</row>
    <row r="6" spans="1:7" x14ac:dyDescent="0.2">
      <c r="A6" t="s">
        <v>74</v>
      </c>
      <c r="B6" s="9">
        <f>IS!F16</f>
        <v>38862</v>
      </c>
      <c r="C6" s="9">
        <f>IS!G16</f>
        <v>39307.587200000009</v>
      </c>
      <c r="D6" s="9">
        <f>IS!H16</f>
        <v>44024.49766400001</v>
      </c>
      <c r="E6" s="9">
        <f>IS!I16</f>
        <v>49307.437383680008</v>
      </c>
      <c r="F6" s="9">
        <f>IS!J16</f>
        <v>55224.329869721623</v>
      </c>
      <c r="G6" s="9">
        <f>IS!K16</f>
        <v>61851.249454088218</v>
      </c>
    </row>
    <row r="7" spans="1:7" x14ac:dyDescent="0.2">
      <c r="A7" t="s">
        <v>75</v>
      </c>
      <c r="B7" s="9">
        <f>B6*DRIVERS!F9</f>
        <v>10163.60291673131</v>
      </c>
      <c r="C7" s="9">
        <f>C6*DRIVERS!G9</f>
        <v>10280.137612979013</v>
      </c>
      <c r="D7" s="9">
        <f>D6*DRIVERS!H9</f>
        <v>11513.754126536494</v>
      </c>
      <c r="E7" s="9">
        <f>E6*DRIVERS!I9</f>
        <v>12895.404621720872</v>
      </c>
      <c r="F7" s="9">
        <f>F6*DRIVERS!J9</f>
        <v>14442.85317632738</v>
      </c>
      <c r="G7" s="9">
        <f>G6*DRIVERS!K9</f>
        <v>16175.995557486667</v>
      </c>
    </row>
    <row r="8" spans="1:7" x14ac:dyDescent="0.2">
      <c r="A8" s="11" t="s">
        <v>76</v>
      </c>
      <c r="B8" s="13">
        <f>B6-B7</f>
        <v>28698.39708326869</v>
      </c>
      <c r="C8" s="13">
        <f t="shared" ref="C8:G8" si="0">C6-C7</f>
        <v>29027.449587020994</v>
      </c>
      <c r="D8" s="13">
        <f t="shared" si="0"/>
        <v>32510.743537463517</v>
      </c>
      <c r="E8" s="13">
        <f t="shared" si="0"/>
        <v>36412.032761959133</v>
      </c>
      <c r="F8" s="13">
        <f t="shared" si="0"/>
        <v>40781.476693394245</v>
      </c>
      <c r="G8" s="13">
        <f t="shared" si="0"/>
        <v>45675.253896601549</v>
      </c>
    </row>
    <row r="9" spans="1:7" x14ac:dyDescent="0.2">
      <c r="A9" t="s">
        <v>77</v>
      </c>
      <c r="B9" s="9">
        <f>IS!F15</f>
        <v>6124</v>
      </c>
      <c r="C9" s="9">
        <f>IS!G15</f>
        <v>6858.880000000001</v>
      </c>
      <c r="D9" s="9">
        <f>IS!H15</f>
        <v>7681.9456000000009</v>
      </c>
      <c r="E9" s="9">
        <f>IS!I15</f>
        <v>8603.7790720000012</v>
      </c>
      <c r="F9" s="9">
        <f>IS!J15</f>
        <v>9636.2325606400009</v>
      </c>
      <c r="G9" s="9">
        <f>IS!K15</f>
        <v>10792.580467916803</v>
      </c>
    </row>
    <row r="10" spans="1:7" x14ac:dyDescent="0.2">
      <c r="A10" t="s">
        <v>81</v>
      </c>
      <c r="B10" s="9">
        <f>B9</f>
        <v>6124</v>
      </c>
      <c r="C10" s="9">
        <f t="shared" ref="C10:G10" si="1">C9</f>
        <v>6858.880000000001</v>
      </c>
      <c r="D10" s="9">
        <f t="shared" si="1"/>
        <v>7681.9456000000009</v>
      </c>
      <c r="E10" s="9">
        <f t="shared" si="1"/>
        <v>8603.7790720000012</v>
      </c>
      <c r="F10" s="9">
        <f t="shared" si="1"/>
        <v>9636.2325606400009</v>
      </c>
      <c r="G10" s="9">
        <f t="shared" si="1"/>
        <v>10792.580467916803</v>
      </c>
    </row>
    <row r="11" spans="1:7" x14ac:dyDescent="0.2">
      <c r="A11" t="s">
        <v>82</v>
      </c>
      <c r="B11">
        <f>0</f>
        <v>0</v>
      </c>
      <c r="C11" s="9">
        <f>C19-B19</f>
        <v>3412.4399999999987</v>
      </c>
      <c r="D11" s="9">
        <f t="shared" ref="D11:G11" si="2">D19-C19</f>
        <v>3821.9328000000096</v>
      </c>
      <c r="E11" s="9">
        <f t="shared" si="2"/>
        <v>4280.564735999993</v>
      </c>
      <c r="F11" s="9">
        <f t="shared" si="2"/>
        <v>4794.2325043200035</v>
      </c>
      <c r="G11" s="9">
        <f t="shared" si="2"/>
        <v>5369.5404048384007</v>
      </c>
    </row>
    <row r="12" spans="1:7" x14ac:dyDescent="0.2">
      <c r="A12" s="11" t="s">
        <v>83</v>
      </c>
      <c r="B12" s="9">
        <f>B8+B9-B10-B11</f>
        <v>28698.39708326869</v>
      </c>
      <c r="C12" s="9">
        <f t="shared" ref="C12:G12" si="3">C8+C9-C10-C11</f>
        <v>25615.009587020999</v>
      </c>
      <c r="D12" s="9">
        <f t="shared" si="3"/>
        <v>28688.810737463507</v>
      </c>
      <c r="E12" s="9">
        <f t="shared" si="3"/>
        <v>32131.468025959133</v>
      </c>
      <c r="F12" s="9">
        <f t="shared" si="3"/>
        <v>35987.244189074241</v>
      </c>
      <c r="G12" s="9">
        <f t="shared" si="3"/>
        <v>40305.713491763141</v>
      </c>
    </row>
    <row r="15" spans="1:7" x14ac:dyDescent="0.2">
      <c r="A15" s="11" t="s">
        <v>78</v>
      </c>
    </row>
    <row r="16" spans="1:7" x14ac:dyDescent="0.2">
      <c r="A16" t="s">
        <v>79</v>
      </c>
      <c r="B16" s="9">
        <f>(DRIVERS!F11/365)*IS!F6</f>
        <v>25660</v>
      </c>
      <c r="C16" s="9">
        <f>(DRIVERS!G11/365)*IS!G6</f>
        <v>28739.200000000004</v>
      </c>
      <c r="D16" s="9">
        <f>(DRIVERS!H11/365)*IS!H6</f>
        <v>32187.904000000006</v>
      </c>
      <c r="E16" s="9">
        <f>(DRIVERS!I11/365)*IS!I6</f>
        <v>36050.452480000007</v>
      </c>
      <c r="F16" s="9">
        <f>(DRIVERS!J11/365)*IS!J6</f>
        <v>40376.506777600007</v>
      </c>
      <c r="G16" s="9">
        <f>(DRIVERS!K11/365)*IS!K6</f>
        <v>45221.687590912014</v>
      </c>
    </row>
    <row r="17" spans="1:7" x14ac:dyDescent="0.2">
      <c r="A17" t="s">
        <v>27</v>
      </c>
      <c r="B17" s="9">
        <f>(DRIVERS!F12/365)*IS!F6</f>
        <v>34440.999999999993</v>
      </c>
      <c r="C17" s="9">
        <f>(DRIVERS!G12/365)*IS!G6</f>
        <v>38573.919999999998</v>
      </c>
      <c r="D17" s="9">
        <f>(DRIVERS!H12/365)*IS!H6</f>
        <v>43202.790399999998</v>
      </c>
      <c r="E17" s="9">
        <f>(DRIVERS!I12/365)*IS!I6</f>
        <v>48387.125248000004</v>
      </c>
      <c r="F17" s="9">
        <f>(DRIVERS!J12/365)*IS!J6</f>
        <v>54193.580277760004</v>
      </c>
      <c r="G17" s="9">
        <f>(DRIVERS!K12/365)*IS!K6</f>
        <v>60696.809911091208</v>
      </c>
    </row>
    <row r="18" spans="1:7" x14ac:dyDescent="0.2">
      <c r="A18" t="s">
        <v>37</v>
      </c>
      <c r="B18" s="9">
        <f>(DRIVERS!F13/365)*IS!F6</f>
        <v>31664.000000000004</v>
      </c>
      <c r="C18" s="9">
        <f>(DRIVERS!G13/365)*IS!G6</f>
        <v>35463.680000000008</v>
      </c>
      <c r="D18" s="9">
        <f>(DRIVERS!H13/365)*IS!H6</f>
        <v>39719.32160000001</v>
      </c>
      <c r="E18" s="9">
        <f>(DRIVERS!I13/365)*IS!I6</f>
        <v>44485.640192000013</v>
      </c>
      <c r="F18" s="9">
        <f>(DRIVERS!J13/365)*IS!J6</f>
        <v>49823.917015040017</v>
      </c>
      <c r="G18" s="9">
        <f>(DRIVERS!K13/365)*IS!K6</f>
        <v>55802.78705684482</v>
      </c>
    </row>
    <row r="19" spans="1:7" x14ac:dyDescent="0.2">
      <c r="A19" t="s">
        <v>80</v>
      </c>
      <c r="B19" s="9">
        <f>B16+B17-B18</f>
        <v>28436.999999999989</v>
      </c>
      <c r="C19" s="9">
        <f t="shared" ref="C19:G19" si="4">C16+C17-C18</f>
        <v>31849.439999999988</v>
      </c>
      <c r="D19" s="9">
        <f t="shared" si="4"/>
        <v>35671.372799999997</v>
      </c>
      <c r="E19" s="9">
        <f t="shared" si="4"/>
        <v>39951.93753599999</v>
      </c>
      <c r="F19" s="9">
        <f t="shared" si="4"/>
        <v>44746.170040319994</v>
      </c>
      <c r="G19" s="9">
        <f t="shared" si="4"/>
        <v>50115.710445158395</v>
      </c>
    </row>
    <row r="22" spans="1:7" x14ac:dyDescent="0.2">
      <c r="A22" t="s">
        <v>84</v>
      </c>
      <c r="B22" s="10">
        <v>0.11</v>
      </c>
    </row>
    <row r="23" spans="1:7" x14ac:dyDescent="0.2">
      <c r="A23" t="s">
        <v>85</v>
      </c>
      <c r="B23" s="10">
        <v>0.05</v>
      </c>
    </row>
    <row r="24" spans="1:7" x14ac:dyDescent="0.2">
      <c r="B24" s="10"/>
    </row>
    <row r="25" spans="1:7" x14ac:dyDescent="0.2">
      <c r="A25" t="s">
        <v>86</v>
      </c>
      <c r="B25" s="14">
        <v>0</v>
      </c>
      <c r="C25">
        <v>1</v>
      </c>
      <c r="D25">
        <v>2</v>
      </c>
      <c r="E25">
        <v>3</v>
      </c>
      <c r="F25">
        <v>4</v>
      </c>
      <c r="G25">
        <v>5</v>
      </c>
    </row>
    <row r="26" spans="1:7" x14ac:dyDescent="0.2">
      <c r="A26" t="s">
        <v>87</v>
      </c>
      <c r="B26" s="6"/>
      <c r="C26" s="6">
        <f>(1+$B$22)^C25</f>
        <v>1.1100000000000001</v>
      </c>
      <c r="D26" s="6">
        <f t="shared" ref="D26:G26" si="5">(1+$B$22)^D25</f>
        <v>1.2321000000000002</v>
      </c>
      <c r="E26" s="6">
        <f t="shared" si="5"/>
        <v>1.3676310000000003</v>
      </c>
      <c r="F26" s="6">
        <f t="shared" si="5"/>
        <v>1.5180704100000004</v>
      </c>
      <c r="G26" s="6">
        <f t="shared" si="5"/>
        <v>1.6850581551000006</v>
      </c>
    </row>
    <row r="27" spans="1:7" x14ac:dyDescent="0.2">
      <c r="A27" t="s">
        <v>88</v>
      </c>
      <c r="B27" s="10"/>
      <c r="C27" s="9">
        <f>C12/C26</f>
        <v>23076.585213532428</v>
      </c>
      <c r="D27" s="9">
        <f t="shared" ref="D27:G27" si="6">D12/D26</f>
        <v>23284.482377618297</v>
      </c>
      <c r="E27" s="9">
        <f t="shared" si="6"/>
        <v>23494.252489128376</v>
      </c>
      <c r="F27" s="9">
        <f t="shared" si="6"/>
        <v>23705.912421462868</v>
      </c>
      <c r="G27" s="9">
        <f t="shared" si="6"/>
        <v>23919.479200034599</v>
      </c>
    </row>
    <row r="28" spans="1:7" x14ac:dyDescent="0.2">
      <c r="B28" s="10"/>
    </row>
    <row r="29" spans="1:7" x14ac:dyDescent="0.2">
      <c r="A29" t="s">
        <v>89</v>
      </c>
      <c r="B29" s="10"/>
      <c r="G29" s="9">
        <f>(G12*(1+$B$23))/($B$22-$B$23)</f>
        <v>705349.98610585497</v>
      </c>
    </row>
    <row r="30" spans="1:7" x14ac:dyDescent="0.2">
      <c r="A30" t="s">
        <v>90</v>
      </c>
      <c r="B30" s="10"/>
      <c r="G30" s="9">
        <f>G29/G26</f>
        <v>418590.88600060553</v>
      </c>
    </row>
    <row r="31" spans="1:7" x14ac:dyDescent="0.2">
      <c r="B31" s="10"/>
    </row>
    <row r="32" spans="1:7" x14ac:dyDescent="0.2">
      <c r="A32" s="11" t="s">
        <v>91</v>
      </c>
      <c r="B32" s="9">
        <f>SUM(C27:G27)+G30</f>
        <v>536071.59770238213</v>
      </c>
    </row>
    <row r="33" spans="1:7" x14ac:dyDescent="0.2">
      <c r="A33" t="s">
        <v>92</v>
      </c>
      <c r="B33" s="9">
        <f>BS!F12</f>
        <v>31003</v>
      </c>
    </row>
    <row r="34" spans="1:7" x14ac:dyDescent="0.2">
      <c r="A34" t="s">
        <v>93</v>
      </c>
      <c r="B34" s="9">
        <f>BS!F18+BS!F20</f>
        <v>0</v>
      </c>
    </row>
    <row r="35" spans="1:7" x14ac:dyDescent="0.2">
      <c r="A35" s="11" t="s">
        <v>94</v>
      </c>
      <c r="B35" s="9">
        <f>B32+B33-B34</f>
        <v>567074.59770238213</v>
      </c>
    </row>
    <row r="36" spans="1:7" x14ac:dyDescent="0.2">
      <c r="A36" t="s">
        <v>95</v>
      </c>
      <c r="B36">
        <v>3672.09</v>
      </c>
    </row>
    <row r="37" spans="1:7" x14ac:dyDescent="0.2">
      <c r="A37" t="s">
        <v>96</v>
      </c>
      <c r="B37" s="9">
        <f>B35/B36</f>
        <v>154.42829497707902</v>
      </c>
    </row>
    <row r="40" spans="1:7" x14ac:dyDescent="0.2">
      <c r="B40" s="15">
        <f>B37</f>
        <v>154.42829497707902</v>
      </c>
      <c r="C40" s="16">
        <v>0.04</v>
      </c>
      <c r="D40" s="17">
        <v>4.4999999999999998E-2</v>
      </c>
      <c r="E40" s="16">
        <v>0.05</v>
      </c>
      <c r="F40" s="17">
        <v>5.5E-2</v>
      </c>
      <c r="G40" s="16">
        <v>0.06</v>
      </c>
    </row>
    <row r="41" spans="1:7" x14ac:dyDescent="0.2">
      <c r="B41" s="16">
        <v>0.09</v>
      </c>
      <c r="C41" s="6">
        <f t="dataTable" ref="C41:G45" dt2D="1" dtr="1" r1="B23" r2="B22"/>
        <v>190.63452650521484</v>
      </c>
      <c r="D41" s="6">
        <v>207.91417051511146</v>
      </c>
      <c r="E41" s="6">
        <v>229.51372552748234</v>
      </c>
      <c r="F41" s="6">
        <v>257.28458197195908</v>
      </c>
      <c r="G41" s="6">
        <v>294.31239056459481</v>
      </c>
    </row>
    <row r="42" spans="1:7" x14ac:dyDescent="0.2">
      <c r="B42" s="16">
        <v>0.1</v>
      </c>
      <c r="C42" s="6">
        <v>159.4574652345656</v>
      </c>
      <c r="D42" s="6">
        <v>170.81642654730973</v>
      </c>
      <c r="E42" s="6">
        <v>184.44718012260276</v>
      </c>
      <c r="F42" s="6">
        <v>201.10699004796081</v>
      </c>
      <c r="G42" s="6">
        <v>221.93175245465847</v>
      </c>
    </row>
    <row r="43" spans="1:7" x14ac:dyDescent="0.2">
      <c r="B43" s="16">
        <v>0.11</v>
      </c>
      <c r="C43" s="6">
        <v>137.21309424473466</v>
      </c>
      <c r="D43" s="6">
        <v>145.15857150581664</v>
      </c>
      <c r="E43" s="6">
        <v>154.42829497707902</v>
      </c>
      <c r="F43" s="6">
        <v>165.38342271584358</v>
      </c>
      <c r="G43" s="6">
        <v>178.52957600236107</v>
      </c>
    </row>
    <row r="44" spans="1:7" x14ac:dyDescent="0.2">
      <c r="B44" s="16">
        <v>0.12</v>
      </c>
      <c r="C44" s="6">
        <v>120.55063926381597</v>
      </c>
      <c r="D44" s="6">
        <v>126.36363440350954</v>
      </c>
      <c r="E44" s="6">
        <v>133.00705742030223</v>
      </c>
      <c r="F44" s="6">
        <v>140.6725455166015</v>
      </c>
      <c r="G44" s="6">
        <v>149.61561496228398</v>
      </c>
    </row>
    <row r="45" spans="1:7" x14ac:dyDescent="0.2">
      <c r="B45" s="16">
        <v>0.13</v>
      </c>
      <c r="C45" s="6">
        <v>107.60860965150566</v>
      </c>
      <c r="D45" s="6">
        <v>112.00856320273482</v>
      </c>
      <c r="E45" s="6">
        <v>116.95851094786762</v>
      </c>
      <c r="F45" s="6">
        <v>122.5684517256848</v>
      </c>
      <c r="G45" s="6">
        <v>128.97981261461874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SUMMARY</vt:lpstr>
      <vt:lpstr>IS</vt:lpstr>
      <vt:lpstr>BS</vt:lpstr>
      <vt:lpstr>CFS</vt:lpstr>
      <vt:lpstr>SCHEDULES</vt:lpstr>
      <vt:lpstr>DRIVERS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Rantej Singh Sohal</dc:creator>
  <cp:lastModifiedBy>Rantej Singh Sohal</cp:lastModifiedBy>
  <dcterms:created xsi:type="dcterms:W3CDTF">2026-06-25T10:32:13Z</dcterms:created>
  <dcterms:modified xsi:type="dcterms:W3CDTF">2026-06-29T12:28:21Z</dcterms:modified>
</cp:coreProperties>
</file>